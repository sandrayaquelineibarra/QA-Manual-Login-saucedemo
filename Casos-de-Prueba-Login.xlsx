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Casos de prueba" sheetId="2" state="visible" r:id="rId4"/>
    <sheet name="Reporte de bu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Celdas amarillas: completar al ejecutar cada caso (Resultado obtenido, Estado, Bug asociado).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Fila de ejemplo solo para mostrar el formato. Reemplazar o borrar al cargar bugs reales.</t>
        </r>
      </text>
    </comment>
  </commentList>
</comments>
</file>

<file path=xl/sharedStrings.xml><?xml version="1.0" encoding="utf-8"?>
<sst xmlns="http://schemas.openxmlformats.org/spreadsheetml/2006/main" count="193" uniqueCount="135">
  <si>
    <t xml:space="preserve">Resumen de ejecución - QA Manual: Login</t>
  </si>
  <si>
    <t xml:space="preserve">Se calcula solo a partir de la hoja 'Casos de prueba' (columna Estado).</t>
  </si>
  <si>
    <t xml:space="preserve">Total de casos</t>
  </si>
  <si>
    <t xml:space="preserve">Pasaron</t>
  </si>
  <si>
    <t xml:space="preserve">Fallaron</t>
  </si>
  <si>
    <t xml:space="preserve">Bloqueados</t>
  </si>
  <si>
    <t xml:space="preserve">Pendientes</t>
  </si>
  <si>
    <t xml:space="preserve">% ejecutado</t>
  </si>
  <si>
    <t xml:space="preserve">% aprobado sobre ejecutados</t>
  </si>
  <si>
    <t xml:space="preserve">No ejecutados</t>
  </si>
  <si>
    <t xml:space="preserve">Aplicación bajo prueba</t>
  </si>
  <si>
    <t xml:space="preserve">ITCA - Acceso Estudiantes (www.itca.com.ar)</t>
  </si>
  <si>
    <t xml:space="preserve">Entorno</t>
  </si>
  <si>
    <t xml:space="preserve">[completar: sistema operativo / navegador y versión]</t>
  </si>
  <si>
    <t xml:space="preserve">Tester</t>
  </si>
  <si>
    <t xml:space="preserve">Sandra Ibarra</t>
  </si>
  <si>
    <t xml:space="preserve">Fecha de ejecución</t>
  </si>
  <si>
    <t xml:space="preserve">[completar]</t>
  </si>
  <si>
    <t xml:space="preserve">Leyenda: las celdas amarillas se completan a mano.</t>
  </si>
  <si>
    <t xml:space="preserve">ID</t>
  </si>
  <si>
    <t xml:space="preserve">Tipo</t>
  </si>
  <si>
    <t xml:space="preserve">Prioridad</t>
  </si>
  <si>
    <t xml:space="preserve">Descripción</t>
  </si>
  <si>
    <t xml:space="preserve">Precondiciones</t>
  </si>
  <si>
    <t xml:space="preserve">Pasos</t>
  </si>
  <si>
    <t xml:space="preserve">Datos de prueba</t>
  </si>
  <si>
    <t xml:space="preserve">Resultado esperado</t>
  </si>
  <si>
    <t xml:space="preserve">Resultado obtenido</t>
  </si>
  <si>
    <t xml:space="preserve">Estado</t>
  </si>
  <si>
    <t xml:space="preserve">Bug asociado</t>
  </si>
  <si>
    <t xml:space="preserve">TC-LOGIN-001</t>
  </si>
  <si>
    <t xml:space="preserve">Funcional</t>
  </si>
  <si>
    <t xml:space="preserve">Alta</t>
  </si>
  <si>
    <t xml:space="preserve">Login con usuario y contraseña válidos</t>
  </si>
  <si>
    <t xml:space="preserve">Usuario registrado y activo</t>
  </si>
  <si>
    <t xml:space="preserve">1. Abrir la página de login
2. Ingresar usuario válido
3. Ingresar contraseña válida
4. Hacer clic en 'Iniciar sesión'</t>
  </si>
  <si>
    <t xml:space="preserve">Usuario: usuario_valido
Contraseña: Clave#2026</t>
  </si>
  <si>
    <t xml:space="preserve">El sistema permite el acceso y redirige a la pantalla principal</t>
  </si>
  <si>
    <t xml:space="preserve">Pendiente</t>
  </si>
  <si>
    <t xml:space="preserve">TC-LOGIN-002</t>
  </si>
  <si>
    <t xml:space="preserve">Negativa</t>
  </si>
  <si>
    <t xml:space="preserve">Login con contraseña incorrecta</t>
  </si>
  <si>
    <t xml:space="preserve">1. Abrir la página de login
2. Ingresar usuario válido
3. Ingresar contraseña incorrecta
4. Hacer clic en 'Iniciar sesión'</t>
  </si>
  <si>
    <t xml:space="preserve">Usuario: usuario_valido
Contraseña: ClaveErronea1</t>
  </si>
  <si>
    <t xml:space="preserve">No se permite el acceso. Se muestra un mensaje de error claro y se mantiene en la pantalla de login</t>
  </si>
  <si>
    <t xml:space="preserve">TC-LOGIN-003</t>
  </si>
  <si>
    <t xml:space="preserve">Login con usuario inexistente</t>
  </si>
  <si>
    <t xml:space="preserve">Ninguna</t>
  </si>
  <si>
    <t xml:space="preserve">1. Abrir la página de login
2. Ingresar un usuario que no existe
3. Ingresar cualquier contraseña
4. Hacer clic en 'Iniciar sesión'</t>
  </si>
  <si>
    <t xml:space="preserve">Usuario: no_existe
Contraseña: Clave#2026</t>
  </si>
  <si>
    <t xml:space="preserve">No se permite el acceso. Se muestra mensaje de error sin revelar si el usuario existe</t>
  </si>
  <si>
    <t xml:space="preserve">TC-LOGIN-004</t>
  </si>
  <si>
    <t xml:space="preserve">Validación</t>
  </si>
  <si>
    <t xml:space="preserve">Login con ambos campos vacíos</t>
  </si>
  <si>
    <t xml:space="preserve">1. Abrir la página de login
2. Dejar usuario y contraseña vacíos
3. Hacer clic en 'Iniciar sesión'</t>
  </si>
  <si>
    <t xml:space="preserve">Usuario: (vacío)
Contraseña: (vacío)</t>
  </si>
  <si>
    <t xml:space="preserve">Se muestran mensajes de campo obligatorio y no se envía el formulario</t>
  </si>
  <si>
    <t xml:space="preserve">TC-LOGIN-005</t>
  </si>
  <si>
    <t xml:space="preserve">Media</t>
  </si>
  <si>
    <t xml:space="preserve">Login con usuario vacío y contraseña completa</t>
  </si>
  <si>
    <t xml:space="preserve">1. Abrir la página de login
2. Dejar usuario vacío
3. Ingresar contraseña
4. Hacer clic en 'Iniciar sesión'</t>
  </si>
  <si>
    <t xml:space="preserve">Usuario: (vacío)
Contraseña: Clave#2026</t>
  </si>
  <si>
    <t xml:space="preserve">Se muestra mensaje de usuario obligatorio y no se permite el acceso</t>
  </si>
  <si>
    <t xml:space="preserve">TC-LOGIN-006</t>
  </si>
  <si>
    <t xml:space="preserve">Login con contraseña vacía y usuario completo</t>
  </si>
  <si>
    <t xml:space="preserve">1. Abrir la página de login
2. Ingresar usuario
3. Dejar contraseña vacía
4. Hacer clic en 'Iniciar sesión'</t>
  </si>
  <si>
    <t xml:space="preserve">Usuario: usuario_valido
Contraseña: (vacío)</t>
  </si>
  <si>
    <t xml:space="preserve">Se muestra mensaje de contraseña obligatoria y no se permite el acceso</t>
  </si>
  <si>
    <t xml:space="preserve">TC-LOGIN-007</t>
  </si>
  <si>
    <t xml:space="preserve">Validación de mensajes de error</t>
  </si>
  <si>
    <t xml:space="preserve">1. Provocar cada error de los casos 002 al 006
2. Revisar el texto, la ubicación y la ortografía de cada mensaje</t>
  </si>
  <si>
    <t xml:space="preserve">Según casos 002 a 006</t>
  </si>
  <si>
    <t xml:space="preserve">Los mensajes son claros, sin errores de ortografía y no exponen información sensible</t>
  </si>
  <si>
    <t xml:space="preserve">TC-LOGIN-008</t>
  </si>
  <si>
    <t xml:space="preserve">Validación de acceso al sistema tras login exitoso</t>
  </si>
  <si>
    <t xml:space="preserve">Haber ejecutado TC-LOGIN-001</t>
  </si>
  <si>
    <t xml:space="preserve">1. Iniciar sesión con datos válidos
2. Verificar la pantalla de destino
3. Verificar que se muestra el nombre del usuario o la opción de cerrar sesión</t>
  </si>
  <si>
    <t xml:space="preserve">El usuario accede a la sección autenticada y ve su sesión iniciada</t>
  </si>
  <si>
    <t xml:space="preserve">TC-LOGIN-009</t>
  </si>
  <si>
    <t xml:space="preserve">Seguridad</t>
  </si>
  <si>
    <t xml:space="preserve">La contraseña se muestra enmascarada</t>
  </si>
  <si>
    <t xml:space="preserve">1. Abrir la página de login
2. Escribir una contraseña en el campo</t>
  </si>
  <si>
    <t xml:space="preserve">Contraseña: Clave#2026</t>
  </si>
  <si>
    <t xml:space="preserve">Los caracteres se muestran ocultos (puntos o asteriscos)</t>
  </si>
  <si>
    <t xml:space="preserve">TC-LOGIN-010</t>
  </si>
  <si>
    <t xml:space="preserve">Login con espacios al inicio y final del usuario</t>
  </si>
  <si>
    <t xml:space="preserve">1. Ingresar el usuario con espacios antes y después
2. Ingresar contraseña válida
3. Hacer clic en 'Iniciar sesión'</t>
  </si>
  <si>
    <t xml:space="preserve">Usuario: ' usuario_valido '
Contraseña: Clave#2026</t>
  </si>
  <si>
    <t xml:space="preserve">Comportamiento consistente: se recortan los espacios y accede, o se muestra un error claro</t>
  </si>
  <si>
    <t xml:space="preserve">TC-LOGIN-011</t>
  </si>
  <si>
    <t xml:space="preserve">Distinción entre mayúsculas y minúsculas en la contraseña</t>
  </si>
  <si>
    <t xml:space="preserve">1. Ingresar usuario válido
2. Ingresar la contraseña cambiando mayúsculas por minúsculas
3. Hacer clic en 'Iniciar sesión'</t>
  </si>
  <si>
    <t xml:space="preserve">Contraseña: clave#2026</t>
  </si>
  <si>
    <t xml:space="preserve">No se permite el acceso porque la contraseña distingue mayúsculas y minúsculas</t>
  </si>
  <si>
    <t xml:space="preserve">TC-LOGIN-012</t>
  </si>
  <si>
    <t xml:space="preserve">Intento de inyección SQL en el campo usuario</t>
  </si>
  <si>
    <t xml:space="preserve">1. Ingresar texto de inyección en el campo usuario
2. Ingresar cualquier contraseña
3. Hacer clic en 'Iniciar sesión'</t>
  </si>
  <si>
    <t xml:space="preserve">Usuario: ' OR '1'='1
Contraseña: cualquiera</t>
  </si>
  <si>
    <t xml:space="preserve">No se permite el acceso y el sistema no muestra errores técnicos</t>
  </si>
  <si>
    <t xml:space="preserve">No se ejecuta sobre un sitio real sin autorización. Queda documentado para sitios de práctica.</t>
  </si>
  <si>
    <t xml:space="preserve">No ejecutado</t>
  </si>
  <si>
    <t xml:space="preserve">TC-LOGIN-013</t>
  </si>
  <si>
    <t xml:space="preserve">Enviar el formulario con la tecla Enter</t>
  </si>
  <si>
    <t xml:space="preserve">1. Ingresar usuario y contraseña válidos
2. Presionar Enter en el campo contraseña</t>
  </si>
  <si>
    <t xml:space="preserve">El formulario se envía y el acceso funciona igual que con el botón</t>
  </si>
  <si>
    <t xml:space="preserve">TC-LOGIN-014</t>
  </si>
  <si>
    <t xml:space="preserve">Regresión</t>
  </si>
  <si>
    <t xml:space="preserve">Cerrar sesión y volver atrás con el navegador</t>
  </si>
  <si>
    <t xml:space="preserve">Sesión iniciada</t>
  </si>
  <si>
    <t xml:space="preserve">1. Cerrar sesión
2. Usar el botón 'Atrás' del navegador</t>
  </si>
  <si>
    <t xml:space="preserve">N/A</t>
  </si>
  <si>
    <t xml:space="preserve">No se puede ver contenido autenticado; se redirige a la pantalla de login</t>
  </si>
  <si>
    <t xml:space="preserve">TC-LOGIN-015</t>
  </si>
  <si>
    <t xml:space="preserve">Repetir el login válido tras corregir un bug</t>
  </si>
  <si>
    <t xml:space="preserve">Un bug de login corregido</t>
  </si>
  <si>
    <t xml:space="preserve">1. Repetir TC-LOGIN-001
2. Repetir TC-LOGIN-002</t>
  </si>
  <si>
    <t xml:space="preserve">Según casos 001 y 002</t>
  </si>
  <si>
    <t xml:space="preserve">La corrección no afecta el comportamiento ya validado</t>
  </si>
  <si>
    <t xml:space="preserve">ID Bug</t>
  </si>
  <si>
    <t xml:space="preserve">Caso de prueba</t>
  </si>
  <si>
    <t xml:space="preserve">Título</t>
  </si>
  <si>
    <t xml:space="preserve">Severidad</t>
  </si>
  <si>
    <t xml:space="preserve">Pasos para reproducir</t>
  </si>
  <si>
    <t xml:space="preserve">Evidencia</t>
  </si>
  <si>
    <t xml:space="preserve">Fecha</t>
  </si>
  <si>
    <t xml:space="preserve">BUG-EJEMPLO</t>
  </si>
  <si>
    <t xml:space="preserve">TC-LOGIN-0XX</t>
  </si>
  <si>
    <t xml:space="preserve">EJEMPLO DE FORMATO: el mensaje de error no se muestra al dejar el usuario vacío</t>
  </si>
  <si>
    <t xml:space="preserve">1. Abrir login
2. Dejar usuario vacío
3. Clic en 'Iniciar sesión'</t>
  </si>
  <si>
    <t xml:space="preserve">Mensaje de usuario obligatorio</t>
  </si>
  <si>
    <t xml:space="preserve">No aparece ningún mensaje</t>
  </si>
  <si>
    <t xml:space="preserve">Windows 11 / Chrome (versión)</t>
  </si>
  <si>
    <t xml:space="preserve">evidencias/BUG-001.png</t>
  </si>
  <si>
    <t xml:space="preserve">Abierto</t>
  </si>
  <si>
    <t xml:space="preserve">DD/MM/AAAA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</si>
</sst>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i val="true"/>
      <sz val="10"/>
      <color rgb="FF7F7F7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8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n">
        <f aca="false">COUNTA('Casos de prueba'!A2:A16)</f>
        <v>15</v>
      </c>
    </row>
    <row r="5" customFormat="false" ht="15" hidden="false" customHeight="true" outlineLevel="0" collapsed="false">
      <c r="A5" s="4" t="s">
        <v>3</v>
      </c>
      <c r="B5" s="5" t="n">
        <f aca="false">COUNTIF('Casos de prueba'!J2:J16,"Pasó")</f>
        <v>0</v>
      </c>
    </row>
    <row r="6" customFormat="false" ht="15" hidden="false" customHeight="true" outlineLevel="0" collapsed="false">
      <c r="A6" s="4" t="s">
        <v>4</v>
      </c>
      <c r="B6" s="5" t="n">
        <f aca="false">COUNTIF('Casos de prueba'!J2:J16,"Falló")</f>
        <v>0</v>
      </c>
    </row>
    <row r="7" customFormat="false" ht="15" hidden="false" customHeight="true" outlineLevel="0" collapsed="false">
      <c r="A7" s="4" t="s">
        <v>5</v>
      </c>
      <c r="B7" s="5" t="n">
        <f aca="false">COUNTIF('Casos de prueba'!J2:J16,"Bloqueado")</f>
        <v>0</v>
      </c>
    </row>
    <row r="8" customFormat="false" ht="15" hidden="false" customHeight="true" outlineLevel="0" collapsed="false">
      <c r="A8" s="4" t="s">
        <v>6</v>
      </c>
      <c r="B8" s="5" t="n">
        <f aca="false">COUNTIF('Casos de prueba'!J2:J16,"Pendiente")</f>
        <v>14</v>
      </c>
    </row>
    <row r="9" customFormat="false" ht="15" hidden="false" customHeight="true" outlineLevel="0" collapsed="false">
      <c r="A9" s="4" t="s">
        <v>7</v>
      </c>
      <c r="B9" s="6" t="n">
        <f aca="false">IF((B4-B11)=0,0,(B5+B6+B7)/(B4-B11))</f>
        <v>0</v>
      </c>
    </row>
    <row r="10" customFormat="false" ht="15" hidden="false" customHeight="true" outlineLevel="0" collapsed="false">
      <c r="A10" s="4" t="s">
        <v>8</v>
      </c>
      <c r="B10" s="6" t="n">
        <f aca="false">IF((B5+B6+B7)=0,0,B5/(B5+B6+B7))</f>
        <v>0</v>
      </c>
    </row>
    <row r="11" customFormat="false" ht="15" hidden="false" customHeight="false" outlineLevel="0" collapsed="false">
      <c r="A11" s="7" t="s">
        <v>9</v>
      </c>
      <c r="B11" s="8" t="n">
        <f aca="false">COUNTIF('Casos de prueba'!J2:J16,"No ejecutado")</f>
        <v>1</v>
      </c>
    </row>
    <row r="13" customFormat="false" ht="15" hidden="false" customHeight="true" outlineLevel="0" collapsed="false">
      <c r="A13" s="9" t="s">
        <v>10</v>
      </c>
      <c r="B13" s="10" t="s">
        <v>11</v>
      </c>
    </row>
    <row r="14" customFormat="false" ht="15" hidden="false" customHeight="true" outlineLevel="0" collapsed="false">
      <c r="A14" s="9" t="s">
        <v>12</v>
      </c>
      <c r="B14" s="10" t="s">
        <v>13</v>
      </c>
    </row>
    <row r="15" customFormat="false" ht="15" hidden="false" customHeight="true" outlineLevel="0" collapsed="false">
      <c r="A15" s="9" t="s">
        <v>14</v>
      </c>
      <c r="B15" s="10" t="s">
        <v>15</v>
      </c>
    </row>
    <row r="16" customFormat="false" ht="15" hidden="false" customHeight="true" outlineLevel="0" collapsed="false">
      <c r="A16" s="9" t="s">
        <v>16</v>
      </c>
      <c r="B16" s="10" t="s">
        <v>17</v>
      </c>
    </row>
    <row r="18" customFormat="false" ht="15" hidden="false" customHeight="true" outlineLevel="0" collapsed="false">
      <c r="A18" s="11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34"/>
    <col collapsed="false" customWidth="true" hidden="false" outlineLevel="0" max="5" min="5" style="1" width="26"/>
    <col collapsed="false" customWidth="true" hidden="false" outlineLevel="0" max="6" min="6" style="1" width="46"/>
    <col collapsed="false" customWidth="true" hidden="false" outlineLevel="0" max="7" min="7" style="1" width="30"/>
    <col collapsed="false" customWidth="true" hidden="false" outlineLevel="0" max="8" min="8" style="1" width="40"/>
    <col collapsed="false" customWidth="true" hidden="false" outlineLevel="0" max="9" min="9" style="1" width="30"/>
    <col collapsed="false" customWidth="true" hidden="false" outlineLevel="0" max="10" min="10" style="1" width="12"/>
    <col collapsed="false" customWidth="true" hidden="false" outlineLevel="0" max="11" min="11" style="1" width="13"/>
  </cols>
  <sheetData>
    <row r="1" customFormat="false" ht="15" hidden="false" customHeight="true" outlineLevel="0" collapsed="false">
      <c r="A1" s="12" t="s">
        <v>19</v>
      </c>
      <c r="B1" s="12" t="s">
        <v>20</v>
      </c>
      <c r="C1" s="12" t="s">
        <v>21</v>
      </c>
      <c r="D1" s="12" t="s">
        <v>22</v>
      </c>
      <c r="E1" s="12" t="s">
        <v>23</v>
      </c>
      <c r="F1" s="12" t="s">
        <v>24</v>
      </c>
      <c r="G1" s="12" t="s">
        <v>25</v>
      </c>
      <c r="H1" s="12" t="s">
        <v>26</v>
      </c>
      <c r="I1" s="12" t="s">
        <v>27</v>
      </c>
      <c r="J1" s="12" t="s">
        <v>28</v>
      </c>
      <c r="K1" s="12" t="s">
        <v>29</v>
      </c>
    </row>
    <row r="2" customFormat="false" ht="45.75" hidden="false" customHeight="true" outlineLevel="0" collapsed="false">
      <c r="A2" s="13" t="s">
        <v>30</v>
      </c>
      <c r="B2" s="13" t="s">
        <v>31</v>
      </c>
      <c r="C2" s="13" t="s">
        <v>32</v>
      </c>
      <c r="D2" s="13" t="s">
        <v>33</v>
      </c>
      <c r="E2" s="13" t="s">
        <v>34</v>
      </c>
      <c r="F2" s="13" t="s">
        <v>35</v>
      </c>
      <c r="G2" s="13" t="s">
        <v>36</v>
      </c>
      <c r="H2" s="13" t="s">
        <v>37</v>
      </c>
      <c r="I2" s="14"/>
      <c r="J2" s="14" t="s">
        <v>38</v>
      </c>
      <c r="K2" s="14"/>
    </row>
    <row r="3" customFormat="false" ht="45.75" hidden="false" customHeight="true" outlineLevel="0" collapsed="false">
      <c r="A3" s="13" t="s">
        <v>39</v>
      </c>
      <c r="B3" s="13" t="s">
        <v>40</v>
      </c>
      <c r="C3" s="13" t="s">
        <v>32</v>
      </c>
      <c r="D3" s="13" t="s">
        <v>41</v>
      </c>
      <c r="E3" s="13" t="s">
        <v>34</v>
      </c>
      <c r="F3" s="13" t="s">
        <v>42</v>
      </c>
      <c r="G3" s="13" t="s">
        <v>43</v>
      </c>
      <c r="H3" s="13" t="s">
        <v>44</v>
      </c>
      <c r="I3" s="14"/>
      <c r="J3" s="14" t="s">
        <v>38</v>
      </c>
      <c r="K3" s="14"/>
    </row>
    <row r="4" customFormat="false" ht="45.75" hidden="false" customHeight="true" outlineLevel="0" collapsed="false">
      <c r="A4" s="13" t="s">
        <v>45</v>
      </c>
      <c r="B4" s="13" t="s">
        <v>40</v>
      </c>
      <c r="C4" s="13" t="s">
        <v>32</v>
      </c>
      <c r="D4" s="13" t="s">
        <v>46</v>
      </c>
      <c r="E4" s="13" t="s">
        <v>47</v>
      </c>
      <c r="F4" s="13" t="s">
        <v>48</v>
      </c>
      <c r="G4" s="13" t="s">
        <v>49</v>
      </c>
      <c r="H4" s="13" t="s">
        <v>50</v>
      </c>
      <c r="I4" s="14"/>
      <c r="J4" s="14" t="s">
        <v>38</v>
      </c>
      <c r="K4" s="14"/>
    </row>
    <row r="5" customFormat="false" ht="34.5" hidden="false" customHeight="true" outlineLevel="0" collapsed="false">
      <c r="A5" s="13" t="s">
        <v>51</v>
      </c>
      <c r="B5" s="13" t="s">
        <v>52</v>
      </c>
      <c r="C5" s="13" t="s">
        <v>32</v>
      </c>
      <c r="D5" s="13" t="s">
        <v>53</v>
      </c>
      <c r="E5" s="13" t="s">
        <v>47</v>
      </c>
      <c r="F5" s="13" t="s">
        <v>54</v>
      </c>
      <c r="G5" s="13" t="s">
        <v>55</v>
      </c>
      <c r="H5" s="13" t="s">
        <v>56</v>
      </c>
      <c r="I5" s="14"/>
      <c r="J5" s="14" t="s">
        <v>38</v>
      </c>
      <c r="K5" s="14"/>
    </row>
    <row r="6" customFormat="false" ht="45.75" hidden="false" customHeight="true" outlineLevel="0" collapsed="false">
      <c r="A6" s="13" t="s">
        <v>57</v>
      </c>
      <c r="B6" s="13" t="s">
        <v>52</v>
      </c>
      <c r="C6" s="13" t="s">
        <v>58</v>
      </c>
      <c r="D6" s="13" t="s">
        <v>59</v>
      </c>
      <c r="E6" s="13" t="s">
        <v>47</v>
      </c>
      <c r="F6" s="13" t="s">
        <v>60</v>
      </c>
      <c r="G6" s="13" t="s">
        <v>61</v>
      </c>
      <c r="H6" s="13" t="s">
        <v>62</v>
      </c>
      <c r="I6" s="14"/>
      <c r="J6" s="14" t="s">
        <v>38</v>
      </c>
      <c r="K6" s="14"/>
    </row>
    <row r="7" customFormat="false" ht="45.75" hidden="false" customHeight="true" outlineLevel="0" collapsed="false">
      <c r="A7" s="13" t="s">
        <v>63</v>
      </c>
      <c r="B7" s="13" t="s">
        <v>52</v>
      </c>
      <c r="C7" s="13" t="s">
        <v>58</v>
      </c>
      <c r="D7" s="13" t="s">
        <v>64</v>
      </c>
      <c r="E7" s="13" t="s">
        <v>47</v>
      </c>
      <c r="F7" s="13" t="s">
        <v>65</v>
      </c>
      <c r="G7" s="13" t="s">
        <v>66</v>
      </c>
      <c r="H7" s="13" t="s">
        <v>67</v>
      </c>
      <c r="I7" s="14"/>
      <c r="J7" s="14" t="s">
        <v>38</v>
      </c>
      <c r="K7" s="14"/>
    </row>
    <row r="8" customFormat="false" ht="34.5" hidden="false" customHeight="true" outlineLevel="0" collapsed="false">
      <c r="A8" s="13" t="s">
        <v>68</v>
      </c>
      <c r="B8" s="13" t="s">
        <v>52</v>
      </c>
      <c r="C8" s="13" t="s">
        <v>58</v>
      </c>
      <c r="D8" s="13" t="s">
        <v>69</v>
      </c>
      <c r="E8" s="13" t="s">
        <v>47</v>
      </c>
      <c r="F8" s="13" t="s">
        <v>70</v>
      </c>
      <c r="G8" s="13" t="s">
        <v>71</v>
      </c>
      <c r="H8" s="13" t="s">
        <v>72</v>
      </c>
      <c r="I8" s="14"/>
      <c r="J8" s="14" t="s">
        <v>38</v>
      </c>
      <c r="K8" s="14"/>
    </row>
    <row r="9" customFormat="false" ht="45.75" hidden="false" customHeight="true" outlineLevel="0" collapsed="false">
      <c r="A9" s="13" t="s">
        <v>73</v>
      </c>
      <c r="B9" s="13" t="s">
        <v>31</v>
      </c>
      <c r="C9" s="13" t="s">
        <v>32</v>
      </c>
      <c r="D9" s="13" t="s">
        <v>74</v>
      </c>
      <c r="E9" s="13" t="s">
        <v>75</v>
      </c>
      <c r="F9" s="13" t="s">
        <v>76</v>
      </c>
      <c r="G9" s="13" t="s">
        <v>36</v>
      </c>
      <c r="H9" s="13" t="s">
        <v>77</v>
      </c>
      <c r="I9" s="14"/>
      <c r="J9" s="14" t="s">
        <v>38</v>
      </c>
      <c r="K9" s="14"/>
    </row>
    <row r="10" customFormat="false" ht="34.5" hidden="false" customHeight="true" outlineLevel="0" collapsed="false">
      <c r="A10" s="13" t="s">
        <v>78</v>
      </c>
      <c r="B10" s="13" t="s">
        <v>79</v>
      </c>
      <c r="C10" s="13" t="s">
        <v>32</v>
      </c>
      <c r="D10" s="13" t="s">
        <v>80</v>
      </c>
      <c r="E10" s="13" t="s">
        <v>47</v>
      </c>
      <c r="F10" s="13" t="s">
        <v>81</v>
      </c>
      <c r="G10" s="13" t="s">
        <v>82</v>
      </c>
      <c r="H10" s="13" t="s">
        <v>83</v>
      </c>
      <c r="I10" s="14"/>
      <c r="J10" s="14" t="s">
        <v>38</v>
      </c>
      <c r="K10" s="14"/>
    </row>
    <row r="11" customFormat="false" ht="34.5" hidden="false" customHeight="true" outlineLevel="0" collapsed="false">
      <c r="A11" s="13" t="s">
        <v>84</v>
      </c>
      <c r="B11" s="13" t="s">
        <v>52</v>
      </c>
      <c r="C11" s="13" t="s">
        <v>58</v>
      </c>
      <c r="D11" s="13" t="s">
        <v>85</v>
      </c>
      <c r="E11" s="13" t="s">
        <v>34</v>
      </c>
      <c r="F11" s="13" t="s">
        <v>86</v>
      </c>
      <c r="G11" s="13" t="s">
        <v>87</v>
      </c>
      <c r="H11" s="13" t="s">
        <v>88</v>
      </c>
      <c r="I11" s="14"/>
      <c r="J11" s="14" t="s">
        <v>38</v>
      </c>
      <c r="K11" s="14"/>
    </row>
    <row r="12" customFormat="false" ht="45.75" hidden="false" customHeight="true" outlineLevel="0" collapsed="false">
      <c r="A12" s="13" t="s">
        <v>89</v>
      </c>
      <c r="B12" s="13" t="s">
        <v>52</v>
      </c>
      <c r="C12" s="13" t="s">
        <v>58</v>
      </c>
      <c r="D12" s="13" t="s">
        <v>90</v>
      </c>
      <c r="E12" s="13" t="s">
        <v>34</v>
      </c>
      <c r="F12" s="13" t="s">
        <v>91</v>
      </c>
      <c r="G12" s="13" t="s">
        <v>92</v>
      </c>
      <c r="H12" s="13" t="s">
        <v>93</v>
      </c>
      <c r="I12" s="14"/>
      <c r="J12" s="14" t="s">
        <v>38</v>
      </c>
      <c r="K12" s="14"/>
    </row>
    <row r="13" customFormat="false" ht="34.5" hidden="false" customHeight="true" outlineLevel="0" collapsed="false">
      <c r="A13" s="13" t="s">
        <v>94</v>
      </c>
      <c r="B13" s="13" t="s">
        <v>79</v>
      </c>
      <c r="C13" s="13" t="s">
        <v>32</v>
      </c>
      <c r="D13" s="13" t="s">
        <v>95</v>
      </c>
      <c r="E13" s="13" t="s">
        <v>47</v>
      </c>
      <c r="F13" s="13" t="s">
        <v>96</v>
      </c>
      <c r="G13" s="13" t="s">
        <v>97</v>
      </c>
      <c r="H13" s="13" t="s">
        <v>98</v>
      </c>
      <c r="I13" s="14" t="s">
        <v>99</v>
      </c>
      <c r="J13" s="14" t="s">
        <v>100</v>
      </c>
      <c r="K13" s="14"/>
    </row>
    <row r="14" customFormat="false" ht="34.5" hidden="false" customHeight="true" outlineLevel="0" collapsed="false">
      <c r="A14" s="13" t="s">
        <v>101</v>
      </c>
      <c r="B14" s="13" t="s">
        <v>31</v>
      </c>
      <c r="C14" s="13" t="s">
        <v>58</v>
      </c>
      <c r="D14" s="13" t="s">
        <v>102</v>
      </c>
      <c r="E14" s="13" t="s">
        <v>34</v>
      </c>
      <c r="F14" s="13" t="s">
        <v>103</v>
      </c>
      <c r="G14" s="13" t="s">
        <v>36</v>
      </c>
      <c r="H14" s="13" t="s">
        <v>104</v>
      </c>
      <c r="I14" s="14"/>
      <c r="J14" s="14" t="s">
        <v>38</v>
      </c>
      <c r="K14" s="14"/>
    </row>
    <row r="15" customFormat="false" ht="34.5" hidden="false" customHeight="true" outlineLevel="0" collapsed="false">
      <c r="A15" s="13" t="s">
        <v>105</v>
      </c>
      <c r="B15" s="13" t="s">
        <v>106</v>
      </c>
      <c r="C15" s="13" t="s">
        <v>58</v>
      </c>
      <c r="D15" s="13" t="s">
        <v>107</v>
      </c>
      <c r="E15" s="13" t="s">
        <v>108</v>
      </c>
      <c r="F15" s="13" t="s">
        <v>109</v>
      </c>
      <c r="G15" s="13" t="s">
        <v>110</v>
      </c>
      <c r="H15" s="13" t="s">
        <v>111</v>
      </c>
      <c r="I15" s="14"/>
      <c r="J15" s="14" t="s">
        <v>38</v>
      </c>
      <c r="K15" s="14"/>
    </row>
    <row r="16" customFormat="false" ht="34.5" hidden="false" customHeight="true" outlineLevel="0" collapsed="false">
      <c r="A16" s="13" t="s">
        <v>112</v>
      </c>
      <c r="B16" s="13" t="s">
        <v>106</v>
      </c>
      <c r="C16" s="13" t="s">
        <v>58</v>
      </c>
      <c r="D16" s="13" t="s">
        <v>113</v>
      </c>
      <c r="E16" s="13" t="s">
        <v>114</v>
      </c>
      <c r="F16" s="13" t="s">
        <v>115</v>
      </c>
      <c r="G16" s="13" t="s">
        <v>116</v>
      </c>
      <c r="H16" s="13" t="s">
        <v>117</v>
      </c>
      <c r="I16" s="14"/>
      <c r="J16" s="14" t="s">
        <v>38</v>
      </c>
      <c r="K16" s="14"/>
    </row>
  </sheetData>
  <dataValidations count="1">
    <dataValidation allowBlank="false" errorStyle="stop" operator="between" showDropDown="false" showErrorMessage="false" showInputMessage="false" sqref="J2:J16" type="list">
      <formula1>"Pendiente,Pasó,Falló,Bloqueado,No ejecutado"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34"/>
    <col collapsed="false" customWidth="true" hidden="false" outlineLevel="0" max="4" min="4" style="1" width="12"/>
    <col collapsed="false" customWidth="true" hidden="false" outlineLevel="0" max="5" min="5" style="1" width="11"/>
    <col collapsed="false" customWidth="true" hidden="false" outlineLevel="0" max="6" min="6" style="1" width="46"/>
    <col collapsed="false" customWidth="true" hidden="false" outlineLevel="0" max="8" min="7" style="1" width="34"/>
    <col collapsed="false" customWidth="true" hidden="false" outlineLevel="0" max="9" min="9" style="1" width="28"/>
    <col collapsed="false" customWidth="true" hidden="false" outlineLevel="0" max="10" min="10" style="1" width="22"/>
    <col collapsed="false" customWidth="true" hidden="false" outlineLevel="0" max="12" min="11" style="1" width="12"/>
  </cols>
  <sheetData>
    <row r="1" customFormat="false" ht="23.25" hidden="false" customHeight="true" outlineLevel="0" collapsed="false">
      <c r="A1" s="12" t="s">
        <v>118</v>
      </c>
      <c r="B1" s="12" t="s">
        <v>119</v>
      </c>
      <c r="C1" s="12" t="s">
        <v>120</v>
      </c>
      <c r="D1" s="12" t="s">
        <v>121</v>
      </c>
      <c r="E1" s="12" t="s">
        <v>21</v>
      </c>
      <c r="F1" s="12" t="s">
        <v>122</v>
      </c>
      <c r="G1" s="12" t="s">
        <v>26</v>
      </c>
      <c r="H1" s="12" t="s">
        <v>27</v>
      </c>
      <c r="I1" s="12" t="s">
        <v>12</v>
      </c>
      <c r="J1" s="12" t="s">
        <v>123</v>
      </c>
      <c r="K1" s="12" t="s">
        <v>28</v>
      </c>
      <c r="L1" s="12" t="s">
        <v>124</v>
      </c>
    </row>
    <row r="2" customFormat="false" ht="34.5" hidden="false" customHeight="true" outlineLevel="0" collapsed="false">
      <c r="A2" s="15" t="s">
        <v>125</v>
      </c>
      <c r="B2" s="15" t="s">
        <v>126</v>
      </c>
      <c r="C2" s="15" t="s">
        <v>127</v>
      </c>
      <c r="D2" s="15" t="s">
        <v>58</v>
      </c>
      <c r="E2" s="15" t="s">
        <v>58</v>
      </c>
      <c r="F2" s="15" t="s">
        <v>128</v>
      </c>
      <c r="G2" s="15" t="s">
        <v>129</v>
      </c>
      <c r="H2" s="15" t="s">
        <v>130</v>
      </c>
      <c r="I2" s="15" t="s">
        <v>131</v>
      </c>
      <c r="J2" s="15" t="s">
        <v>132</v>
      </c>
      <c r="K2" s="15" t="s">
        <v>133</v>
      </c>
      <c r="L2" s="15" t="s">
        <v>134</v>
      </c>
    </row>
    <row r="3" customFormat="false" ht="15" hidden="false" customHeight="true" outlineLevel="0" collapsed="false">
      <c r="A3" s="13"/>
      <c r="B3" s="13"/>
      <c r="C3" s="13"/>
      <c r="D3" s="13"/>
      <c r="E3" s="13"/>
      <c r="F3" s="13"/>
      <c r="G3" s="13"/>
      <c r="H3" s="13"/>
      <c r="I3" s="13"/>
      <c r="J3" s="13"/>
      <c r="K3" s="13" t="s">
        <v>133</v>
      </c>
      <c r="L3" s="13"/>
    </row>
    <row r="4" customFormat="false" ht="15" hidden="false" customHeight="true" outlineLevel="0" collapsed="false">
      <c r="A4" s="13"/>
      <c r="B4" s="13"/>
      <c r="C4" s="13"/>
      <c r="D4" s="13"/>
      <c r="E4" s="13"/>
      <c r="F4" s="13"/>
      <c r="G4" s="13"/>
      <c r="H4" s="13"/>
      <c r="I4" s="13"/>
      <c r="J4" s="13"/>
      <c r="K4" s="13" t="s">
        <v>133</v>
      </c>
      <c r="L4" s="13"/>
    </row>
    <row r="5" customFormat="false" ht="15" hidden="false" customHeight="true" outlineLevel="0" collapsed="false">
      <c r="A5" s="13"/>
      <c r="B5" s="13"/>
      <c r="C5" s="13"/>
      <c r="D5" s="13"/>
      <c r="E5" s="13"/>
      <c r="F5" s="13"/>
      <c r="G5" s="13"/>
      <c r="H5" s="13"/>
      <c r="I5" s="13"/>
      <c r="J5" s="13"/>
      <c r="K5" s="13" t="s">
        <v>133</v>
      </c>
      <c r="L5" s="13"/>
    </row>
  </sheetData>
  <dataValidations count="2">
    <dataValidation allowBlank="false" errorStyle="stop" operator="between" showDropDown="false" showErrorMessage="false" showInputMessage="false" sqref="D3:E30" type="list">
      <formula1>"Crítica,Alta,Media,Baja"</formula1>
      <formula2>0</formula2>
    </dataValidation>
    <dataValidation allowBlank="false" errorStyle="stop" operator="between" showDropDown="false" showErrorMessage="false" showInputMessage="false" sqref="K3:K30" type="list">
      <formula1>"Abierto,En revisión,Corregido,Cerrado"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2026-10-17T01:48:16Z</dcterms:created>
  <dc:creator>openpyxl</dc:creator>
  <dc:description/>
  <dc:language>en-US</dc:language>
  <cp:lastModifiedBy/>
  <dcterms:modified xsi:type="dcterms:W3CDTF">2026-10-17T17:37:39Z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